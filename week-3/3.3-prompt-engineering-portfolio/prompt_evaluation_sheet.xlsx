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imangali/Downloads/"/>
    </mc:Choice>
  </mc:AlternateContent>
  <xr:revisionPtr revIDLastSave="0" documentId="13_ncr:1_{280CCA19-17B8-FE40-8707-AC6EF50C53BE}" xr6:coauthVersionLast="47" xr6:coauthVersionMax="47" xr10:uidLastSave="{00000000-0000-0000-0000-000000000000}"/>
  <bookViews>
    <workbookView xWindow="0" yWindow="720" windowWidth="29400" windowHeight="18400" tabRatio="500" activeTab="1" xr2:uid="{00000000-000D-0000-FFFF-FFFF00000000}"/>
  </bookViews>
  <sheets>
    <sheet name="Summary" sheetId="1" r:id="rId1"/>
    <sheet name="Evaluation Log" sheetId="2" r:id="rId2"/>
    <sheet name="Rules &amp; Keys" sheetId="3" r:id="rId3"/>
    <sheet name="Prompts &amp; Output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2" i="2" l="1"/>
  <c r="L12" i="2"/>
  <c r="O12" i="2" s="1"/>
  <c r="H12" i="1" s="1"/>
  <c r="M11" i="2"/>
  <c r="L11" i="2"/>
  <c r="M10" i="2"/>
  <c r="O10" i="2" s="1"/>
  <c r="H11" i="1" s="1"/>
  <c r="L10" i="2"/>
  <c r="M9" i="2"/>
  <c r="L9" i="2"/>
  <c r="M8" i="2"/>
  <c r="L8" i="2"/>
  <c r="M7" i="2"/>
  <c r="O8" i="2" s="1"/>
  <c r="H10" i="1" s="1"/>
  <c r="L7" i="2"/>
  <c r="M6" i="2"/>
  <c r="F9" i="1" s="1"/>
  <c r="G9" i="1" s="1"/>
  <c r="L6" i="2"/>
  <c r="M5" i="2"/>
  <c r="L5" i="2"/>
  <c r="F12" i="1"/>
  <c r="G12" i="1" s="1"/>
  <c r="E12" i="1"/>
  <c r="B12" i="1"/>
  <c r="F11" i="1"/>
  <c r="G11" i="1" s="1"/>
  <c r="E11" i="1"/>
  <c r="C11" i="1"/>
  <c r="D11" i="1" s="1"/>
  <c r="B11" i="1"/>
  <c r="F10" i="1"/>
  <c r="C10" i="1"/>
  <c r="B10" i="1"/>
  <c r="D10" i="1" s="1"/>
  <c r="E9" i="1"/>
  <c r="D9" i="1"/>
  <c r="C9" i="1"/>
  <c r="B9" i="1"/>
  <c r="O6" i="2" l="1"/>
  <c r="H9" i="1" s="1"/>
  <c r="E10" i="1"/>
  <c r="G10" i="1" s="1"/>
  <c r="C12" i="1"/>
  <c r="D12" i="1" s="1"/>
</calcChain>
</file>

<file path=xl/sharedStrings.xml><?xml version="1.0" encoding="utf-8"?>
<sst xmlns="http://schemas.openxmlformats.org/spreadsheetml/2006/main" count="204" uniqueCount="149">
  <si>
    <t>Model tested</t>
  </si>
  <si>
    <t>Date run</t>
  </si>
  <si>
    <t>2026-10-05</t>
  </si>
  <si>
    <t>Method</t>
  </si>
  <si>
    <t>Four use cases. Same model, fresh chat for every run, test inputs identical across versions, scoring rules and answer keys fixed before running. One run per prompt version.</t>
  </si>
  <si>
    <t>Use case</t>
  </si>
  <si>
    <t>Content V1</t>
  </si>
  <si>
    <t>Content V2</t>
  </si>
  <si>
    <t>Change</t>
  </si>
  <si>
    <t>Format V1</t>
  </si>
  <si>
    <t>Format V2</t>
  </si>
  <si>
    <t>Verdict</t>
  </si>
  <si>
    <t>Reasoning</t>
  </si>
  <si>
    <t>Extraction</t>
  </si>
  <si>
    <t>Summarization</t>
  </si>
  <si>
    <t>Coding</t>
  </si>
  <si>
    <t>Green = linked from 'Evaluation Log'. Percentages are score / max for each use case.</t>
  </si>
  <si>
    <t>Key findings</t>
  </si>
  <si>
    <t>1. Correctness was already at or near ceiling in V1 for three of four use cases (reasoning, extraction, summarization). The test sets were too easy to separate prompts on correctness; this is reported as a finding, not hidden.</t>
  </si>
  <si>
    <t>2. The measurable gain from prompt iteration was output control: exact answer lines, fixed JSON schemas, length limits and return-type contracts moved format/constraint compliance from 0% to 100% in every use case.</t>
  </si>
  <si>
    <t>3. Coding was the only case where V1 was not fully correct. The failure traced to an unstated requirement (return type and empty-input behaviour), not to faulty logic. Specifying the contract fixed it.</t>
  </si>
  <si>
    <t>4. Explicit null rules held up: in extraction, the model returned null for the missing ticker and date in both versions instead of inventing values.</t>
  </si>
  <si>
    <t>5. In summarization, cutting from roughly 50 words to 40 or fewer did not drop any key fact on this test set.</t>
  </si>
  <si>
    <t>Limitations</t>
  </si>
  <si>
    <t>- One run per prompt version on one model: results do not show output stability or generalise to other models.</t>
  </si>
  <si>
    <t>- Small fixed test sets (3 inputs per use case, 5 unit tests for coding); high scores here do not mean the prompts are robust on harder inputs.</t>
  </si>
  <si>
    <t>- Scoring was strict by design; some format failures (for example the missing 'Answer:' line) are judgement-sensitive if read leniently.</t>
  </si>
  <si>
    <t>- Maximum scores differ by use case, so percentages are comparable within a use case, not across use cases.</t>
  </si>
  <si>
    <t>Task 3.3 - Prompt Evaluation Sheet: iterations and outcomes</t>
  </si>
  <si>
    <t>Blue = scores entered by hand after running the fixed tests. Black = formulas. Full prompt text and raw outputs are in 'Prompts &amp; Outputs'; scoring rules and answer keys are in 'Rules &amp; Keys'.</t>
  </si>
  <si>
    <t>Run ID</t>
  </si>
  <si>
    <t>Version</t>
  </si>
  <si>
    <t>Prompt design</t>
  </si>
  <si>
    <t>Test inputs (fixed across versions)</t>
  </si>
  <si>
    <t>Content metric</t>
  </si>
  <si>
    <t>Content score</t>
  </si>
  <si>
    <t>Content max</t>
  </si>
  <si>
    <t>Format / constraint metric</t>
  </si>
  <si>
    <t>Format score</t>
  </si>
  <si>
    <t>Format max</t>
  </si>
  <si>
    <t>Content %</t>
  </si>
  <si>
    <t>Format %</t>
  </si>
  <si>
    <t>What changed vs previous version</t>
  </si>
  <si>
    <t>Result vs previous</t>
  </si>
  <si>
    <t>Notes</t>
  </si>
  <si>
    <t>RSN-V1</t>
  </si>
  <si>
    <t>V1</t>
  </si>
  <si>
    <t>Bare instruction: 'Solve these three problems.'</t>
  </si>
  <si>
    <t>3 finance problems (R1 stock return, R2 compounding with withdrawal, R3 Bayes fraud test)</t>
  </si>
  <si>
    <t>Correct final answers (/3)</t>
  </si>
  <si>
    <t>Ends with exact 'Answer:' line (/3)</t>
  </si>
  <si>
    <t>Baseline.</t>
  </si>
  <si>
    <t>Baseline</t>
  </si>
  <si>
    <t>Correct and well explained, but no 'Answer:' lines. Scored strictly against the rule fixed before running; a lenient reader might give partial format credit. Ceiling effect: the baseline was already fully correct, so the test set could not separate prompts on correctness.</t>
  </si>
  <si>
    <t>RSN-V2</t>
  </si>
  <si>
    <t>V2</t>
  </si>
  <si>
    <t>Role + max 4 calculation lines + state assumptions + rounding rules + strict 'Answer: &lt;value&gt;' line + no trailing commentary</t>
  </si>
  <si>
    <t>Same 3 problems</t>
  </si>
  <si>
    <t>Added role, 4-line cap, assumption statements, rounding rules, strict Answer line.</t>
  </si>
  <si>
    <t>Correctness unchanged (already at ceiling); gain is controllable, machine-readable output. Assumptions made explicit (e.g. withdrawal timing in R2).</t>
  </si>
  <si>
    <t>EXT-V1</t>
  </si>
  <si>
    <t>Names the five fields in plain language, no schema: 'Extract the company, ticker, event type, amount, and date ... as JSON.'</t>
  </si>
  <si>
    <t>3 news snippets (E1 earnings, E2 acquisition with no ticker/exact date, E3 dividend)</t>
  </si>
  <si>
    <t>Fields matching gold key (/15)</t>
  </si>
  <si>
    <t>Valid JSON with exactly the 5 keys, nothing else (/3)</t>
  </si>
  <si>
    <t>All values correct, and the model correctly returned null for the missing ticker and date in E2 (no invented values). 'amount' was accepted as equal to 'amount_usd' because V1 never named the keys. Format fails: extra keys (exchange, currency, target, *_description) and non-specified key names. Ceiling effect on correctness.</t>
  </si>
  <si>
    <t>EXT-V2</t>
  </si>
  <si>
    <t>Role + exact 5-key schema + enum for event_type + plain-number amounts + ISO dates + 'use null, never guess' + JSON-only output</t>
  </si>
  <si>
    <t>Same 3 snippets</t>
  </si>
  <si>
    <t>Added exact schema, null rule, number and date formats, event_type enum, JSON-only rule.</t>
  </si>
  <si>
    <t>Output parses directly and has a fixed shape. Null handling held on E2. Correctness unchanged; improvement is in format and parseability, which is what downstream code needs.</t>
  </si>
  <si>
    <t>SUM-V1</t>
  </si>
  <si>
    <t>Bare instruction: 'Summarize each of the three passages below.'</t>
  </si>
  <si>
    <t>3 short finance passages (S1 bank earnings, S2 central bank decision, S3 failed drug trial)</t>
  </si>
  <si>
    <t>Key facts present with correct figures (/9)</t>
  </si>
  <si>
    <t>Each summary at most 40 words (/3)</t>
  </si>
  <si>
    <t>All 9 checklist facts present, no hallucinations. Word counts: 43, 55, 53 (limit was not stated in V1, so this is the expected baseline failure). Output used bold labels 'Passage N'.</t>
  </si>
  <si>
    <t>SUM-V2</t>
  </si>
  <si>
    <t>Role + 40-word cap + lead with main development + keep numbers exactly + no outside context + fixed labels, nothing else</t>
  </si>
  <si>
    <t>Same 3 passages</t>
  </si>
  <si>
    <t>Added 40-word cap, 'lead with most important development', keep-numbers-exactly rule, label format.</t>
  </si>
  <si>
    <t>Word counts: 37, 39, 40 (S3 sits exactly at the limit; passes under the 'at most 40' rule). Compression did not cost any key facts. No hallucinations.</t>
  </si>
  <si>
    <t>COD-V1</t>
  </si>
  <si>
    <t>Bare instruction: 'Write a Python function that calculates the maximum drawdown of a list of prices.'</t>
  </si>
  <si>
    <t>5 unit tests on max_drawdown (falling+recovery, monotonic rise, single price, empty list, double drawdown)</t>
  </si>
  <si>
    <t>Tests with correct drawdown value (/5)</t>
  </si>
  <si>
    <t>Contract: returns plain float (1) and 0.0 on empty list (1) (/2)</t>
  </si>
  <si>
    <t>Algorithm correct on all non-empty cases (response also ran the 30.77% example correctly and its pandas one-liner matched). Fails the empty-list test because it raises ValueError; returns a tuple (mdd, peak_idx, trough_idx), so the value was read from element 0. Both are unspecified-requirement gaps in the prompt, not logic errors. Added unrequested extras (pandas version, recovery-time suggestion).</t>
  </si>
  <si>
    <t>COD-V2</t>
  </si>
  <si>
    <t>Role + exact signature with type hints + return plain float in [0,1] + empty list -&gt; 0.0, no error + stdlib only, single pass + docstring + code block only</t>
  </si>
  <si>
    <t>Same 5 unit tests</t>
  </si>
  <si>
    <t>Added exact signature, return type, empty-list rule, stdlib/single-pass constraint, code-only output.</t>
  </si>
  <si>
    <t>All 5 tests pass and return type is float. Unrequested behaviour noted for audit: non-positive peaks are silently skipped to avoid division by zero. First use case where V1 was not fully correct; the cause was an unstated specification.</t>
  </si>
  <si>
    <t>Scoring convention: Content = correctness / key-fact coverage; Format = output-format or constraint compliance. Rules were fixed before each run. Maximums differ by use case.</t>
  </si>
  <si>
    <t>Scoring rules and answer keys (fixed before each run)</t>
  </si>
  <si>
    <t>Item</t>
  </si>
  <si>
    <t>Rule / key</t>
  </si>
  <si>
    <t>Correctness (1 per problem)</t>
  </si>
  <si>
    <t>R1 correct if answer is 0% (no change). R2 correct if within $1 of $11,135.06. R3 correct if between 15.5% and 16.5% (exact about 16.1%).</t>
  </si>
  <si>
    <t>Format (1 per problem)</t>
  </si>
  <si>
    <t>Response ends each problem with a line starting 'Answer:' containing only the final value.</t>
  </si>
  <si>
    <t>Key</t>
  </si>
  <si>
    <t>R1: 0.80 x 1.25 = 1.00 -&gt; 0%.  R2: 10,000 x 1.06^3 = 11,910.16; minus 2,000 = 9,910.16; x 1.06^2 = 11,135.06.  R3: Bayes: 0.0095 / (0.0095 + 0.0495) = 0.161.</t>
  </si>
  <si>
    <t>Correctness (1 per field, 15 total)</t>
  </si>
  <si>
    <t>Field matches gold key. Strings compared case-insensitively. Amounts must be numbers (not text like '$4.2 billion'). A non-null value where the key says null counts as wrong and is flagged as invented.</t>
  </si>
  <si>
    <t>Format (1 per snippet)</t>
  </si>
  <si>
    <t>Valid JSON with exactly the five keys (company, ticker, event_type, amount_usd, date) and no extra text.</t>
  </si>
  <si>
    <t>Gold key E1</t>
  </si>
  <si>
    <t>company Apex Semiconductor | ticker APXS | event_type earnings | amount_usd 4200000000 | date 2025-10-28</t>
  </si>
  <si>
    <t>Gold key E2</t>
  </si>
  <si>
    <t>company Beta Holdings | ticker null | event_type acquisition | amount_usd 850000000 | date null ('Tuesday' is not an exact date)</t>
  </si>
  <si>
    <t>Gold key E3</t>
  </si>
  <si>
    <t>company Nordwind Energy | ticker NWE | event_type dividend | amount_usd 0.42 | date 2025-12-01</t>
  </si>
  <si>
    <t>Coverage (1 per fact, 9 total)</t>
  </si>
  <si>
    <t>Key fact present with the correct number.</t>
  </si>
  <si>
    <t>Constraint (1 per summary)</t>
  </si>
  <si>
    <t>Summary is 40 words or fewer (words counted by whitespace split).</t>
  </si>
  <si>
    <t>Accuracy</t>
  </si>
  <si>
    <t>Any figure or claim not in the passage is flagged as a hallucination.</t>
  </si>
  <si>
    <t>Checklist</t>
  </si>
  <si>
    <t>S1: net income $1.8B / up 9%; loan-loss provision $320M (doubled); forecast unchanged.  S2: rate held at 4.5%; inflation 3.1% vs 2% target; no timeline for cuts.  S3: stock fell 22%; trial missed main goal; revenue forecast cut by $400M.</t>
  </si>
  <si>
    <t>Correctness (1 per test, 5 total)</t>
  </si>
  <si>
    <t>max_drawdown returns the right value. If the response returns a tuple, element 0 is read, because V1 never specified a return type.</t>
  </si>
  <si>
    <t>Contract (2 total)</t>
  </si>
  <si>
    <t>1 point for returning a plain float; 1 point for returning 0.0 on an empty list.</t>
  </si>
  <si>
    <t>Unit tests</t>
  </si>
  <si>
    <t>[100,120,90,95,80,110] -&gt; 1/3;  [100,110,120,130] -&gt; 0.0;  [50] -&gt; 0.0;  [] -&gt; 0.0;  [100,50,100,25] -&gt; 0.75</t>
  </si>
  <si>
    <t>Full prompts and raw model outputs (verbatim)</t>
  </si>
  <si>
    <t>Prompt (verbatim)</t>
  </si>
  <si>
    <t>Model output (verbatim)</t>
  </si>
  <si>
    <t>Solve these three problems.
1. A stock falls 20% in January and rises 25% in February. What is the net percentage change over the two months?
2. An investor puts $10,000 in an account earning 6% per year, compounded annually. After 3 years she withdraws $2,000 and leaves the rest for 2 more years at the same rate. What is the final balance?
3. A fraud test flags 95% of fraudulent transactions and also wrongly flags 5% of legitimate ones. If 1% of all transactions are fraudulent, what is the probability that a flagged transaction is actually fraud?</t>
  </si>
  <si>
    <t>1. Net change: 0%
0.80 × 1.25 = 1.00, so the stock ends exactly where it started. The 25% gain is on a smaller base, which is why it only offsets the 20% loss instead of beating it.
2. Final balance: $11,135.06
* After 3 years: $10,000 × 1.06³ = $11,910.16
* After the $2,000 withdrawal: $9,910.16
* After 2 more years: $9,910.16 × 1.06² = $9,910.16 × 1.1236 = $11,135.06
3. Probability a flagged transaction is fraud: about 16.1%
Use Bayes' theorem:
* Fraud that gets flagged: 0.95 × 0.01 = 0.0095
* Legitimate transactions that get flagged: 0.05 × 0.99 = 0.0495
* All flagged transactions: 0.0095 + 0.0495 = 0.059
* P(fraud | flagged) = 0.0095 / 0.059 ≈ 0.161
Fraud is rare at 1%, so the false alarms on the other 99% of transactions far outnumber the real catches. About 5 out of every 6 flags are false positives.</t>
  </si>
  <si>
    <t>You are a careful quantitative analyst. Solve each problem below.
Rules:
- Show your calculation briefly, in at most 4 short lines per problem.
- State any assumption you make.
- Give percentages to 1 decimal place and dollar amounts to the cent.
- End each problem with a line in exactly this form: "Answer: &lt;final value only&gt;"
- Do not add any commentary after the Answer line.
1. A stock falls 20% in January and rises 25% in February. What is the net percentage change over the two months?
2. An investor puts $10,000 in an account earning 6% per year, compounded annually. After 3 years she withdraws $2,000 and leaves the rest for 2 more years at the same rate. What is the final balance?
3. A fraud test flags 95% of fraudulent transactions and also wrongly flags 5% of legitimate ones. If 1% of all transactions are fraudulent, what is the probability that a flagged transaction is actually fraud?</t>
  </si>
  <si>
    <t>1.
Assumption: the 25% rise applies to the price at the end of January.
0.80 × 1.25 = 1.00
Net change = 1.00 − 1 = 0
Answer: 0.0%
2.
Assumption: the withdrawal happens at the very end of year 3, after that year's interest is added.
10,000 × 1.06³ = 11,910.16
11,910.16 − 2,000 = 9,910.16
9,910.16 × 1.06² = 9,910.16 × 1.1236 = 11,135.06
Answer: $11,135.06
3.
Assumption: the 95% and 5% flag rates hold for every transaction, so Bayes' theorem applies.
P(flagged and fraud) = 0.01 × 0.95 = 0.0095
P(flagged and legitimate) = 0.99 × 0.05 = 0.0495
P(fraud | flagged) = 0.0095 / (0.0095 + 0.0495) = 0.0095 / 0.0590 = 0.1610
Answer: 16.1%</t>
  </si>
  <si>
    <t>Extract the company, ticker, event type, amount, and date from each of the three news snippets below as JSON.
Snippet 1: Apex Semiconductor (NASDAQ: APXS) reported third-quarter revenue of $4.2 billion on October 28, 2025, up 12% from a year earlier.
Snippet 2: Beta Holdings, a privately held logistics firm, agreed to acquire Corvane Freight for about $850 million, the companies said Tuesday.
Snippet 3: Nordwind Energy (NYSE: NWE) will pay a quarterly dividend of $0.42 per share to holders of record on December 1, 2025.</t>
  </si>
  <si>
    <t>[
  {
    "company": "Apex Semiconductor",
    "ticker": "APXS",
    "exchange": "NASDAQ",
    "event_type": "earnings",
    "amount": 4200000000,
    "currency": "USD",
    "amount_description": "Q3 revenue (up 12% YoY)",
    "date": "2025-10-28",
    "date_description": "report date"
  },
  {
    "company": "Beta Holdings",
    "ticker": null,
    "exchange": null,
    "event_type": "acquisition",
    "target": "Corvane Freight",
    "amount": 850000000,
    "currency": "USD",
    "amount_description": "approximate deal value",
    "date": null,
    "date_description": "announced \"Tuesday\" (exact date not given)"
  },
  {
    "company": "Nordwind Energy",
    "ticker": "NWE",
    "exchange": "NYSE",
    "event_type": "dividend",
    "amount": 0.42,
    "currency": "USD",
    "amount_description": "quarterly dividend per share",
    "date": "2025-12-01",
    "date_description": "record date"
  }
]</t>
  </si>
  <si>
    <t>You are a data extraction system for financial news.
For each of the three snippets below, extract exactly these five fields and return a JSON array with one object per snippet, in order:
- "company": company name only, no ticker or suffix
- "ticker": ticker symbol only (e.g. "ABC"), or null if the text does not state one
- "event_type": one of "earnings", "acquisition", "dividend", "other"
- "amount_usd": a plain number in US dollars (e.g. 4200000000, not "$4.2 billion"), or null if no amount is stated
- "date": ISO format YYYY-MM-DD, or null if the text does not give an exact calendar date
Rules:
- Use only information stated in the snippet. Never guess or infer a missing value; use null.
- Use exactly these five keys and no others.
- Output only the JSON array, with no explanation and no markdown code fences.
Snippet 1: Apex Semiconductor (NASDAQ: APXS) reported third-quarter revenue of $4.2 billion on October 28, 2025, up 12% from a year earlier.
Snippet 2: Beta Holdings, a privately held logistics firm, agreed to acquire Corvane Freight for about $850 million, the companies said Tuesday.
Snippet 3: Nordwind Energy (NYSE: NWE) will pay a quarterly dividend of $0.42 per share to holders of record on December 1, 2025.</t>
  </si>
  <si>
    <t>[{"company":"Apex Semiconductor","ticker":"APXS","event_type":"earnings","amount_usd":4200000000,"date":"2025-10-28"},{"company":"Beta Holdings","ticker":null,"event_type":"acquisition","amount_usd":850000000,"date":null},{"company":"Nordwind Energy","ticker":"NWE","event_type":"dividend","amount_usd":0.42,"date":"2025-12-01"}]</t>
  </si>
  <si>
    <t>Summarize each of the three passages below.
Passage 1: Orion Bank reported second-quarter net income of $1.8 billion, up 9% from last year, helped by higher interest income. Fee income fell 4% as trading activity slowed. The bank set aside $320 million for expected loan losses, double the previous quarter, citing weaker commercial real estate. It kept its full-year profit forecast unchanged.
Passage 2: The central bank held its benchmark interest rate at 4.5% on Wednesday, the third consecutive meeting without a change. Policymakers said inflation had eased to 3.1% but remained above the 2% target. Two of nine members voted for a cut. The governor said rates would stay restrictive until inflation is clearly heading to target, and gave no timeline for cuts.
Passage 3: Helix Pharma's stock fell 22% on Thursday after a late-stage trial of its lead cancer drug missed its main goal. The drug extended survival by 1.2 months against a required 3 months. The company said it would review the data with regulators but cut its full-year revenue forecast by $400 million. Analysts at two brokerages downgraded the stock.</t>
  </si>
  <si>
    <t>**Passage 1:** Orion Bank's second-quarter profit rose 9% to $1.8 billion, driven by higher interest income, though fee income dropped 4% on slower trading. It doubled loan-loss provisions to $320 million because of weakness in commercial real estate, and it left its full-year forecast unchanged.
**Passage 2:** The central bank kept rates at 4.5% for a third meeting in a row. Inflation has eased to 3.1%, but that's still above the 2% target. Two of the nine members voted for a cut. The governor said policy will stay restrictive until inflation is clearly heading to target and gave no timeline for cuts.
**Passage 3:** Helix Pharma shares fell 22% after its lead cancer drug missed its main goal in a late-stage trial. It extended survival by 1.2 months, well short of the required 3. The company will review the data with regulators, but it cut its revenue forecast by $400 million, and two brokerages downgraded the stock.</t>
  </si>
  <si>
    <t>You are a financial news editor writing summaries for busy investors.
Summarize each of the three passages below in at most 40 words each.
Rules:
- Lead with the single most important development.
- Keep every key number (percentages, dollar amounts, rates) exactly as written in the passage.
- Use only information stated in the passage. Do not add opinion or outside context.
- Label the summaries "Summary 1", "Summary 2", "Summary 3", and output nothing else.
Passage 1: Orion Bank reported second-quarter net income of $1.8 billion, up 9% from last year, helped by higher interest income. Fee income fell 4% as trading activity slowed. The bank set aside $320 million for expected loan losses, double the previous quarter, citing weaker commercial real estate. It kept its full-year profit forecast unchanged.
Passage 2: The central bank held its benchmark interest rate at 4.5% on Wednesday, the third consecutive meeting without a change. Policymakers said inflation had eased to 3.1% but remained above the 2% target. Two of nine members voted for a cut. The governor said rates would stay restrictive until inflation is clearly heading to target, and gave no timeline for cuts.
Passage 3: Helix Pharma's stock fell 22% on Thursday after a late-stage trial of its lead cancer drug missed its main goal. The drug extended survival by 1.2 months against a required 3 months. The company said it would review the data with regulators but cut its full-year revenue forecast by $400 million. Analysts at two brokerages downgraded the stock.</t>
  </si>
  <si>
    <t>Summary 1
Orion Bank's second-quarter net income rose 9% to $1.8 billion, helped by higher interest income. Fee income fell 4% as trading slowed. Loan-loss provisions doubled to $320 million on weaker commercial real estate. Full-year profit forecast unchanged.
Summary 2
The central bank held its benchmark rate at 4.5%, its third straight meeting without change. Inflation eased to 3.1%, still above the 2% target. Two of nine members voted for a cut. The governor gave no timeline for cuts.
Summary 3
Helix Pharma's stock fell 22% after its lead cancer drug missed its main goal in a late-stage trial, extending survival 1.2 months versus a required 3 months. It cut its full-year revenue forecast by $400 million; two brokerages downgraded it.</t>
  </si>
  <si>
    <t>Write a Python function that calculates the maximum drawdown of a list of prices.</t>
  </si>
  <si>
    <t>This function goes through the prices once, so it runs in O(n) time. It returns the drawdown as a fraction, along with the peak and trough indices.
```python
def max_drawdown(prices):
    """
    Calculate the maximum drawdown of a price series.
    Returns:
        (mdd, peak_idx, trough_idx)
        mdd        -- largest peak-to-trough decline as a fraction (e.g. 0.25 = -25%)
        peak_idx   -- index of the peak before the worst decline
        trough_idx -- index of the trough of the worst decline
    """
    if not prices:
        raise ValueError("prices must be a non-empty list")
    if any(p &lt;= 0 for p in prices):
        raise ValueError("prices must be positive")
    peak_val, peak_idx = prices[0], 0
    mdd, best_peak, best_trough = 0.0, 0, 0
    for i, p in enumerate(prices):
        if p &gt; peak_val:
            peak_val, peak_idx = p, i
        dd = (peak_val - p) / peak_val
        if dd &gt; mdd:
            mdd, best_peak, best_trough = dd, peak_idx, i
    return mdd, best_peak, best_trough
# Example
prices = [100, 120, 110, 130, 90, 95, 140, 105]
mdd, peak, trough = max_drawdown(prices)
print(f"Max drawdown: {mdd:.2%} (peak {prices[peak]} at i={peak}, trough {prices[trough]} at i={trough})")
# Max drawdown: 30.77% (peak 130 at i=3, trough 90 at i=4)
```
How it works:
- Running peak: it keeps track of the highest price seen so far.
- Current drawdown: at each step, it measures how far the price has fallen from that peak.
- Worst drawdown: it keeps the largest fall it finds.
If you're using pandas: a vectorized version is a one-liner:
```python
import pandas as pd
def max_drawdown_pd(prices: pd.Series) -&gt; float:
    return (1 - prices / prices.cummax()).max()
```
For a portfolio tracker: you can also measure how long a drawdown lasts and how long it takes to recover. The recovery point is the first index after the trough where the price gets back to the peak.</t>
  </si>
  <si>
    <t>You are a senior quantitative developer writing production-quality Python.
Write a function with this exact signature:
def max_drawdown(prices: list[float]) -&gt; float
Requirements:
- Return the maximum drawdown as a single float fraction between 0 and 1 (0.25 means a 25% peak-to-trough fall). Return a plain float, not a tuple.
- Drawdown at each point = (running peak - price) / running peak. The result is the largest value.
- If the list is empty, return 0.0. Do not raise an error.
- If prices never fall below a prior peak (or there is only one price), return 0.0.
- Use only the Python standard library and a single pass through the list.
- Include a short docstring.
Output only one Python code block containing the function. No explanation, no example usage.</t>
  </si>
  <si>
    <t>def max_drawdown(prices: list[float]) -&gt; float:
    """Return the maximum peak-to-trough drawdown as a fraction in [0, 1].
    Drawdown at each point is (running_peak - price) / running_peak; the
    result is the largest such value. Returns 0.0 for an empty list, a
    single price, or a series that never falls below a prior peak.
    Non-positive peaks are skipped to avoid division by zero.
    """
    max_dd = 0.0
    peak = None
    for price in prices:
        if peak is None or price &gt; peak:
            peak = price
        elif peak &gt; 0:
            drawdown = (peak - price) / peak
            if drawdown &gt; max_dd:
                max_dd = drawdown
    return float(min(max_dd, 1.0))</t>
  </si>
  <si>
    <t>Task 3.3 -- Skill Set Go EduTech ML Internship | Imangali Bayangaliyev</t>
  </si>
  <si>
    <t>Sonnet 5.5 Claude</t>
  </si>
  <si>
    <t>Prompt Engineering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</si>
</sst>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%;\-0%;0%"/>
  </numFmts>
  <fonts count="12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  <font>
      <b/>
      <sz val="12"/>
      <name val="Arial"/>
      <charset val="1"/>
    </font>
    <font>
      <i/>
      <sz val="9"/>
      <color rgb="FF595959"/>
      <name val="Arial"/>
      <family val="2"/>
    </font>
    <font>
      <sz val="10"/>
      <color rgb="FF0000FF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9" fontId="7" fillId="0" borderId="1" xfId="0" applyNumberFormat="1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0" xfId="0" applyFont="1"/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9" fontId="5" fillId="4" borderId="1" xfId="0" applyNumberFormat="1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9" fontId="5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9" fillId="0" borderId="0" xfId="0" applyFont="1"/>
    <xf numFmtId="0" fontId="10" fillId="2" borderId="0" xfId="0" applyFon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zoomScale="125" zoomScaleNormal="100" workbookViewId="0">
      <selection activeCell="D3" sqref="D3"/>
    </sheetView>
  </sheetViews>
  <sheetFormatPr baseColWidth="10" defaultColWidth="8.6640625" defaultRowHeight="15" x14ac:dyDescent="0.2"/>
  <cols>
    <col min="1" max="1" width="18" customWidth="1"/>
    <col min="2" max="3" width="13" customWidth="1"/>
    <col min="4" max="4" width="11" customWidth="1"/>
    <col min="5" max="6" width="13" customWidth="1"/>
    <col min="7" max="7" width="11" customWidth="1"/>
    <col min="8" max="8" width="18" customWidth="1"/>
  </cols>
  <sheetData>
    <row r="1" spans="1:8" ht="18" x14ac:dyDescent="0.2">
      <c r="A1" s="24" t="s">
        <v>148</v>
      </c>
    </row>
    <row r="2" spans="1:8" x14ac:dyDescent="0.2">
      <c r="A2" s="22" t="s">
        <v>146</v>
      </c>
    </row>
    <row r="4" spans="1:8" x14ac:dyDescent="0.2">
      <c r="A4" s="4" t="s">
        <v>0</v>
      </c>
      <c r="B4" s="23" t="s">
        <v>147</v>
      </c>
    </row>
    <row r="5" spans="1:8" x14ac:dyDescent="0.2">
      <c r="A5" s="4" t="s">
        <v>1</v>
      </c>
      <c r="B5" s="5" t="s">
        <v>2</v>
      </c>
    </row>
    <row r="6" spans="1:8" ht="42" customHeight="1" x14ac:dyDescent="0.2">
      <c r="A6" s="4" t="s">
        <v>3</v>
      </c>
      <c r="B6" s="1" t="s">
        <v>4</v>
      </c>
      <c r="C6" s="1"/>
      <c r="D6" s="1"/>
      <c r="E6" s="1"/>
      <c r="F6" s="1"/>
      <c r="G6" s="1"/>
      <c r="H6" s="1"/>
    </row>
    <row r="8" spans="1:8" ht="27.75" customHeight="1" x14ac:dyDescent="0.2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8</v>
      </c>
      <c r="H8" s="6" t="s">
        <v>11</v>
      </c>
    </row>
    <row r="9" spans="1:8" x14ac:dyDescent="0.2">
      <c r="A9" s="7" t="s">
        <v>12</v>
      </c>
      <c r="B9" s="8">
        <f>'Evaluation Log'!L5</f>
        <v>1</v>
      </c>
      <c r="C9" s="8">
        <f>'Evaluation Log'!L6</f>
        <v>1</v>
      </c>
      <c r="D9" s="9">
        <f>C9-B9</f>
        <v>0</v>
      </c>
      <c r="E9" s="8">
        <f>'Evaluation Log'!M5</f>
        <v>0</v>
      </c>
      <c r="F9" s="8">
        <f>'Evaluation Log'!M6</f>
        <v>1</v>
      </c>
      <c r="G9" s="9">
        <f>F9-E9</f>
        <v>1</v>
      </c>
      <c r="H9" s="10" t="str">
        <f>'Evaluation Log'!O6</f>
        <v>Improved</v>
      </c>
    </row>
    <row r="10" spans="1:8" x14ac:dyDescent="0.2">
      <c r="A10" s="7" t="s">
        <v>13</v>
      </c>
      <c r="B10" s="8">
        <f>'Evaluation Log'!L7</f>
        <v>1</v>
      </c>
      <c r="C10" s="8">
        <f>'Evaluation Log'!L8</f>
        <v>1</v>
      </c>
      <c r="D10" s="9">
        <f>C10-B10</f>
        <v>0</v>
      </c>
      <c r="E10" s="8">
        <f>'Evaluation Log'!M7</f>
        <v>0</v>
      </c>
      <c r="F10" s="8">
        <f>'Evaluation Log'!M8</f>
        <v>1</v>
      </c>
      <c r="G10" s="9">
        <f>F10-E10</f>
        <v>1</v>
      </c>
      <c r="H10" s="10" t="str">
        <f>'Evaluation Log'!O8</f>
        <v>Improved</v>
      </c>
    </row>
    <row r="11" spans="1:8" x14ac:dyDescent="0.2">
      <c r="A11" s="7" t="s">
        <v>14</v>
      </c>
      <c r="B11" s="8">
        <f>'Evaluation Log'!L9</f>
        <v>1</v>
      </c>
      <c r="C11" s="8">
        <f>'Evaluation Log'!L10</f>
        <v>1</v>
      </c>
      <c r="D11" s="9">
        <f>C11-B11</f>
        <v>0</v>
      </c>
      <c r="E11" s="8">
        <f>'Evaluation Log'!M9</f>
        <v>0</v>
      </c>
      <c r="F11" s="8">
        <f>'Evaluation Log'!M10</f>
        <v>1</v>
      </c>
      <c r="G11" s="9">
        <f>F11-E11</f>
        <v>1</v>
      </c>
      <c r="H11" s="10" t="str">
        <f>'Evaluation Log'!O10</f>
        <v>Improved</v>
      </c>
    </row>
    <row r="12" spans="1:8" x14ac:dyDescent="0.2">
      <c r="A12" s="7" t="s">
        <v>15</v>
      </c>
      <c r="B12" s="8">
        <f>'Evaluation Log'!L11</f>
        <v>0.8</v>
      </c>
      <c r="C12" s="8">
        <f>'Evaluation Log'!L12</f>
        <v>1</v>
      </c>
      <c r="D12" s="9">
        <f>C12-B12</f>
        <v>0.19999999999999996</v>
      </c>
      <c r="E12" s="8">
        <f>'Evaluation Log'!M11</f>
        <v>0</v>
      </c>
      <c r="F12" s="8">
        <f>'Evaluation Log'!M12</f>
        <v>1</v>
      </c>
      <c r="G12" s="9">
        <f>F12-E12</f>
        <v>1</v>
      </c>
      <c r="H12" s="10" t="str">
        <f>'Evaluation Log'!O12</f>
        <v>Improved</v>
      </c>
    </row>
    <row r="13" spans="1:8" x14ac:dyDescent="0.2">
      <c r="A13" s="3" t="s">
        <v>16</v>
      </c>
    </row>
    <row r="15" spans="1:8" ht="16" x14ac:dyDescent="0.2">
      <c r="A15" s="11" t="s">
        <v>17</v>
      </c>
    </row>
    <row r="16" spans="1:8" ht="42" customHeight="1" x14ac:dyDescent="0.2">
      <c r="A16" s="1" t="s">
        <v>18</v>
      </c>
      <c r="B16" s="1"/>
      <c r="C16" s="1"/>
      <c r="D16" s="1"/>
      <c r="E16" s="1"/>
      <c r="F16" s="1"/>
      <c r="G16" s="1"/>
      <c r="H16" s="1"/>
    </row>
    <row r="17" spans="1:8" ht="42" customHeight="1" x14ac:dyDescent="0.2">
      <c r="A17" s="1" t="s">
        <v>19</v>
      </c>
      <c r="B17" s="1"/>
      <c r="C17" s="1"/>
      <c r="D17" s="1"/>
      <c r="E17" s="1"/>
      <c r="F17" s="1"/>
      <c r="G17" s="1"/>
      <c r="H17" s="1"/>
    </row>
    <row r="18" spans="1:8" ht="42" customHeight="1" x14ac:dyDescent="0.2">
      <c r="A18" s="1" t="s">
        <v>20</v>
      </c>
      <c r="B18" s="1"/>
      <c r="C18" s="1"/>
      <c r="D18" s="1"/>
      <c r="E18" s="1"/>
      <c r="F18" s="1"/>
      <c r="G18" s="1"/>
      <c r="H18" s="1"/>
    </row>
    <row r="19" spans="1:8" ht="42" customHeight="1" x14ac:dyDescent="0.2">
      <c r="A19" s="1" t="s">
        <v>21</v>
      </c>
      <c r="B19" s="1"/>
      <c r="C19" s="1"/>
      <c r="D19" s="1"/>
      <c r="E19" s="1"/>
      <c r="F19" s="1"/>
      <c r="G19" s="1"/>
      <c r="H19" s="1"/>
    </row>
    <row r="20" spans="1:8" ht="42" customHeight="1" x14ac:dyDescent="0.2">
      <c r="A20" s="1" t="s">
        <v>22</v>
      </c>
      <c r="B20" s="1"/>
      <c r="C20" s="1"/>
      <c r="D20" s="1"/>
      <c r="E20" s="1"/>
      <c r="F20" s="1"/>
      <c r="G20" s="1"/>
      <c r="H20" s="1"/>
    </row>
    <row r="22" spans="1:8" ht="16" x14ac:dyDescent="0.2">
      <c r="A22" s="11" t="s">
        <v>23</v>
      </c>
    </row>
    <row r="23" spans="1:8" ht="30" customHeight="1" x14ac:dyDescent="0.2">
      <c r="A23" s="1" t="s">
        <v>24</v>
      </c>
      <c r="B23" s="1"/>
      <c r="C23" s="1"/>
      <c r="D23" s="1"/>
      <c r="E23" s="1"/>
      <c r="F23" s="1"/>
      <c r="G23" s="1"/>
      <c r="H23" s="1"/>
    </row>
    <row r="24" spans="1:8" ht="30" customHeight="1" x14ac:dyDescent="0.2">
      <c r="A24" s="1" t="s">
        <v>25</v>
      </c>
      <c r="B24" s="1"/>
      <c r="C24" s="1"/>
      <c r="D24" s="1"/>
      <c r="E24" s="1"/>
      <c r="F24" s="1"/>
      <c r="G24" s="1"/>
      <c r="H24" s="1"/>
    </row>
    <row r="25" spans="1:8" ht="30" customHeight="1" x14ac:dyDescent="0.2">
      <c r="A25" s="1" t="s">
        <v>26</v>
      </c>
      <c r="B25" s="1"/>
      <c r="C25" s="1"/>
      <c r="D25" s="1"/>
      <c r="E25" s="1"/>
      <c r="F25" s="1"/>
      <c r="G25" s="1"/>
      <c r="H25" s="1"/>
    </row>
    <row r="26" spans="1:8" ht="30" customHeight="1" x14ac:dyDescent="0.2">
      <c r="A26" s="1" t="s">
        <v>27</v>
      </c>
      <c r="B26" s="1"/>
      <c r="C26" s="1"/>
      <c r="D26" s="1"/>
      <c r="E26" s="1"/>
      <c r="F26" s="1"/>
      <c r="G26" s="1"/>
      <c r="H26" s="1"/>
    </row>
  </sheetData>
  <mergeCells count="10">
    <mergeCell ref="A20:H20"/>
    <mergeCell ref="A23:H23"/>
    <mergeCell ref="A24:H24"/>
    <mergeCell ref="A25:H25"/>
    <mergeCell ref="A26:H26"/>
    <mergeCell ref="B6:H6"/>
    <mergeCell ref="A16:H16"/>
    <mergeCell ref="A17:H17"/>
    <mergeCell ref="A18:H18"/>
    <mergeCell ref="A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0" customWidth="1"/>
    <col min="2" max="2" width="14" customWidth="1"/>
    <col min="3" max="3" width="8" customWidth="1"/>
    <col min="4" max="4" width="38" customWidth="1"/>
    <col min="5" max="5" width="34" customWidth="1"/>
    <col min="6" max="6" width="26" customWidth="1"/>
    <col min="7" max="8" width="9" customWidth="1"/>
    <col min="9" max="9" width="28" customWidth="1"/>
    <col min="10" max="13" width="9" customWidth="1"/>
    <col min="14" max="14" width="36" customWidth="1"/>
    <col min="15" max="15" width="16" customWidth="1"/>
    <col min="16" max="16" width="60" customWidth="1"/>
  </cols>
  <sheetData>
    <row r="1" spans="1:16" ht="18" x14ac:dyDescent="0.2">
      <c r="A1" s="2" t="s">
        <v>28</v>
      </c>
    </row>
    <row r="2" spans="1:16" x14ac:dyDescent="0.2">
      <c r="A2" s="3" t="s">
        <v>29</v>
      </c>
    </row>
    <row r="4" spans="1:16" ht="31.5" customHeight="1" x14ac:dyDescent="0.2">
      <c r="A4" s="6" t="s">
        <v>30</v>
      </c>
      <c r="B4" s="6" t="s">
        <v>5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 t="s">
        <v>36</v>
      </c>
      <c r="I4" s="6" t="s">
        <v>37</v>
      </c>
      <c r="J4" s="6" t="s">
        <v>38</v>
      </c>
      <c r="K4" s="6" t="s">
        <v>39</v>
      </c>
      <c r="L4" s="6" t="s">
        <v>40</v>
      </c>
      <c r="M4" s="6" t="s">
        <v>41</v>
      </c>
      <c r="N4" s="6" t="s">
        <v>42</v>
      </c>
      <c r="O4" s="6" t="s">
        <v>43</v>
      </c>
      <c r="P4" s="6" t="s">
        <v>44</v>
      </c>
    </row>
    <row r="5" spans="1:16" ht="56" x14ac:dyDescent="0.2">
      <c r="A5" s="12" t="s">
        <v>45</v>
      </c>
      <c r="B5" s="13" t="s">
        <v>12</v>
      </c>
      <c r="C5" s="12" t="s">
        <v>46</v>
      </c>
      <c r="D5" s="13" t="s">
        <v>47</v>
      </c>
      <c r="E5" s="13" t="s">
        <v>48</v>
      </c>
      <c r="F5" s="13" t="s">
        <v>49</v>
      </c>
      <c r="G5" s="14">
        <v>3</v>
      </c>
      <c r="H5" s="14">
        <v>3</v>
      </c>
      <c r="I5" s="13" t="s">
        <v>50</v>
      </c>
      <c r="J5" s="14">
        <v>0</v>
      </c>
      <c r="K5" s="14">
        <v>3</v>
      </c>
      <c r="L5" s="15">
        <f t="shared" ref="L5:L12" si="0">IF(H5=0,0,G5/H5)</f>
        <v>1</v>
      </c>
      <c r="M5" s="15">
        <f t="shared" ref="M5:M12" si="1">IF(K5=0,0,J5/K5)</f>
        <v>0</v>
      </c>
      <c r="N5" s="13" t="s">
        <v>51</v>
      </c>
      <c r="O5" s="16" t="s">
        <v>52</v>
      </c>
      <c r="P5" s="13" t="s">
        <v>53</v>
      </c>
    </row>
    <row r="6" spans="1:16" ht="42" x14ac:dyDescent="0.2">
      <c r="A6" s="17" t="s">
        <v>54</v>
      </c>
      <c r="B6" s="18" t="s">
        <v>12</v>
      </c>
      <c r="C6" s="17" t="s">
        <v>55</v>
      </c>
      <c r="D6" s="18" t="s">
        <v>56</v>
      </c>
      <c r="E6" s="18" t="s">
        <v>57</v>
      </c>
      <c r="F6" s="18" t="s">
        <v>49</v>
      </c>
      <c r="G6" s="19">
        <v>3</v>
      </c>
      <c r="H6" s="19">
        <v>3</v>
      </c>
      <c r="I6" s="18" t="s">
        <v>50</v>
      </c>
      <c r="J6" s="19">
        <v>3</v>
      </c>
      <c r="K6" s="19">
        <v>3</v>
      </c>
      <c r="L6" s="20">
        <f t="shared" si="0"/>
        <v>1</v>
      </c>
      <c r="M6" s="20">
        <f t="shared" si="1"/>
        <v>1</v>
      </c>
      <c r="N6" s="18" t="s">
        <v>58</v>
      </c>
      <c r="O6" s="21" t="str">
        <f>IF(AND(L6=L5,M6=M5),"No change",IF(AND(L6&gt;=L5,M6&gt;=M5),"Improved","Mixed / degraded"))</f>
        <v>Improved</v>
      </c>
      <c r="P6" s="18" t="s">
        <v>59</v>
      </c>
    </row>
    <row r="7" spans="1:16" ht="70" x14ac:dyDescent="0.2">
      <c r="A7" s="12" t="s">
        <v>60</v>
      </c>
      <c r="B7" s="13" t="s">
        <v>13</v>
      </c>
      <c r="C7" s="12" t="s">
        <v>46</v>
      </c>
      <c r="D7" s="13" t="s">
        <v>61</v>
      </c>
      <c r="E7" s="13" t="s">
        <v>62</v>
      </c>
      <c r="F7" s="13" t="s">
        <v>63</v>
      </c>
      <c r="G7" s="14">
        <v>15</v>
      </c>
      <c r="H7" s="14">
        <v>15</v>
      </c>
      <c r="I7" s="13" t="s">
        <v>64</v>
      </c>
      <c r="J7" s="14">
        <v>0</v>
      </c>
      <c r="K7" s="14">
        <v>3</v>
      </c>
      <c r="L7" s="15">
        <f t="shared" si="0"/>
        <v>1</v>
      </c>
      <c r="M7" s="15">
        <f t="shared" si="1"/>
        <v>0</v>
      </c>
      <c r="N7" s="13" t="s">
        <v>51</v>
      </c>
      <c r="O7" s="16" t="s">
        <v>52</v>
      </c>
      <c r="P7" s="13" t="s">
        <v>65</v>
      </c>
    </row>
    <row r="8" spans="1:16" ht="56" x14ac:dyDescent="0.2">
      <c r="A8" s="17" t="s">
        <v>66</v>
      </c>
      <c r="B8" s="18" t="s">
        <v>13</v>
      </c>
      <c r="C8" s="17" t="s">
        <v>55</v>
      </c>
      <c r="D8" s="18" t="s">
        <v>67</v>
      </c>
      <c r="E8" s="18" t="s">
        <v>68</v>
      </c>
      <c r="F8" s="18" t="s">
        <v>63</v>
      </c>
      <c r="G8" s="19">
        <v>15</v>
      </c>
      <c r="H8" s="19">
        <v>15</v>
      </c>
      <c r="I8" s="18" t="s">
        <v>64</v>
      </c>
      <c r="J8" s="19">
        <v>3</v>
      </c>
      <c r="K8" s="19">
        <v>3</v>
      </c>
      <c r="L8" s="20">
        <f t="shared" si="0"/>
        <v>1</v>
      </c>
      <c r="M8" s="20">
        <f t="shared" si="1"/>
        <v>1</v>
      </c>
      <c r="N8" s="18" t="s">
        <v>69</v>
      </c>
      <c r="O8" s="21" t="str">
        <f>IF(AND(L8=L7,M8=M7),"No change",IF(AND(L8&gt;=L7,M8&gt;=M7),"Improved","Mixed / degraded"))</f>
        <v>Improved</v>
      </c>
      <c r="P8" s="18" t="s">
        <v>70</v>
      </c>
    </row>
    <row r="9" spans="1:16" ht="42" x14ac:dyDescent="0.2">
      <c r="A9" s="12" t="s">
        <v>71</v>
      </c>
      <c r="B9" s="13" t="s">
        <v>14</v>
      </c>
      <c r="C9" s="12" t="s">
        <v>46</v>
      </c>
      <c r="D9" s="13" t="s">
        <v>72</v>
      </c>
      <c r="E9" s="13" t="s">
        <v>73</v>
      </c>
      <c r="F9" s="13" t="s">
        <v>74</v>
      </c>
      <c r="G9" s="14">
        <v>9</v>
      </c>
      <c r="H9" s="14">
        <v>9</v>
      </c>
      <c r="I9" s="13" t="s">
        <v>75</v>
      </c>
      <c r="J9" s="14">
        <v>0</v>
      </c>
      <c r="K9" s="14">
        <v>3</v>
      </c>
      <c r="L9" s="15">
        <f t="shared" si="0"/>
        <v>1</v>
      </c>
      <c r="M9" s="15">
        <f t="shared" si="1"/>
        <v>0</v>
      </c>
      <c r="N9" s="13" t="s">
        <v>51</v>
      </c>
      <c r="O9" s="16" t="s">
        <v>52</v>
      </c>
      <c r="P9" s="13" t="s">
        <v>76</v>
      </c>
    </row>
    <row r="10" spans="1:16" ht="42" x14ac:dyDescent="0.2">
      <c r="A10" s="17" t="s">
        <v>77</v>
      </c>
      <c r="B10" s="18" t="s">
        <v>14</v>
      </c>
      <c r="C10" s="17" t="s">
        <v>55</v>
      </c>
      <c r="D10" s="18" t="s">
        <v>78</v>
      </c>
      <c r="E10" s="18" t="s">
        <v>79</v>
      </c>
      <c r="F10" s="18" t="s">
        <v>74</v>
      </c>
      <c r="G10" s="19">
        <v>9</v>
      </c>
      <c r="H10" s="19">
        <v>9</v>
      </c>
      <c r="I10" s="18" t="s">
        <v>75</v>
      </c>
      <c r="J10" s="19">
        <v>3</v>
      </c>
      <c r="K10" s="19">
        <v>3</v>
      </c>
      <c r="L10" s="20">
        <f t="shared" si="0"/>
        <v>1</v>
      </c>
      <c r="M10" s="20">
        <f t="shared" si="1"/>
        <v>1</v>
      </c>
      <c r="N10" s="18" t="s">
        <v>80</v>
      </c>
      <c r="O10" s="21" t="str">
        <f>IF(AND(L10=L9,M10=M9),"No change",IF(AND(L10&gt;=L9,M10&gt;=M9),"Improved","Mixed / degraded"))</f>
        <v>Improved</v>
      </c>
      <c r="P10" s="18" t="s">
        <v>81</v>
      </c>
    </row>
    <row r="11" spans="1:16" ht="84" x14ac:dyDescent="0.2">
      <c r="A11" s="12" t="s">
        <v>82</v>
      </c>
      <c r="B11" s="13" t="s">
        <v>15</v>
      </c>
      <c r="C11" s="12" t="s">
        <v>46</v>
      </c>
      <c r="D11" s="13" t="s">
        <v>83</v>
      </c>
      <c r="E11" s="13" t="s">
        <v>84</v>
      </c>
      <c r="F11" s="13" t="s">
        <v>85</v>
      </c>
      <c r="G11" s="14">
        <v>4</v>
      </c>
      <c r="H11" s="14">
        <v>5</v>
      </c>
      <c r="I11" s="13" t="s">
        <v>86</v>
      </c>
      <c r="J11" s="14">
        <v>0</v>
      </c>
      <c r="K11" s="14">
        <v>2</v>
      </c>
      <c r="L11" s="15">
        <f t="shared" si="0"/>
        <v>0.8</v>
      </c>
      <c r="M11" s="15">
        <f t="shared" si="1"/>
        <v>0</v>
      </c>
      <c r="N11" s="13" t="s">
        <v>51</v>
      </c>
      <c r="O11" s="16" t="s">
        <v>52</v>
      </c>
      <c r="P11" s="13" t="s">
        <v>87</v>
      </c>
    </row>
    <row r="12" spans="1:16" ht="56" x14ac:dyDescent="0.2">
      <c r="A12" s="17" t="s">
        <v>88</v>
      </c>
      <c r="B12" s="18" t="s">
        <v>15</v>
      </c>
      <c r="C12" s="17" t="s">
        <v>55</v>
      </c>
      <c r="D12" s="18" t="s">
        <v>89</v>
      </c>
      <c r="E12" s="18" t="s">
        <v>90</v>
      </c>
      <c r="F12" s="18" t="s">
        <v>85</v>
      </c>
      <c r="G12" s="19">
        <v>5</v>
      </c>
      <c r="H12" s="19">
        <v>5</v>
      </c>
      <c r="I12" s="18" t="s">
        <v>86</v>
      </c>
      <c r="J12" s="19">
        <v>2</v>
      </c>
      <c r="K12" s="19">
        <v>2</v>
      </c>
      <c r="L12" s="20">
        <f t="shared" si="0"/>
        <v>1</v>
      </c>
      <c r="M12" s="20">
        <f t="shared" si="1"/>
        <v>1</v>
      </c>
      <c r="N12" s="18" t="s">
        <v>91</v>
      </c>
      <c r="O12" s="21" t="str">
        <f>IF(AND(L12=L11,M12=M11),"No change",IF(AND(L12&gt;=L11,M12&gt;=M11),"Improved","Mixed / degraded"))</f>
        <v>Improved</v>
      </c>
      <c r="P12" s="18" t="s">
        <v>92</v>
      </c>
    </row>
    <row r="14" spans="1:16" x14ac:dyDescent="0.2">
      <c r="A14" s="3" t="s">
        <v>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34" customWidth="1"/>
    <col min="3" max="3" width="110" customWidth="1"/>
  </cols>
  <sheetData>
    <row r="1" spans="1:3" ht="18" x14ac:dyDescent="0.2">
      <c r="A1" s="2" t="s">
        <v>94</v>
      </c>
    </row>
    <row r="3" spans="1:3" x14ac:dyDescent="0.2">
      <c r="A3" s="6" t="s">
        <v>5</v>
      </c>
      <c r="B3" s="6" t="s">
        <v>95</v>
      </c>
      <c r="C3" s="6" t="s">
        <v>96</v>
      </c>
    </row>
    <row r="4" spans="1:3" ht="28" x14ac:dyDescent="0.2">
      <c r="A4" s="7" t="s">
        <v>12</v>
      </c>
      <c r="B4" s="18" t="s">
        <v>97</v>
      </c>
      <c r="C4" s="18" t="s">
        <v>98</v>
      </c>
    </row>
    <row r="5" spans="1:3" x14ac:dyDescent="0.2">
      <c r="A5" s="7" t="s">
        <v>12</v>
      </c>
      <c r="B5" s="18" t="s">
        <v>99</v>
      </c>
      <c r="C5" s="18" t="s">
        <v>100</v>
      </c>
    </row>
    <row r="6" spans="1:3" ht="28" x14ac:dyDescent="0.2">
      <c r="A6" s="7" t="s">
        <v>12</v>
      </c>
      <c r="B6" s="18" t="s">
        <v>101</v>
      </c>
      <c r="C6" s="18" t="s">
        <v>102</v>
      </c>
    </row>
    <row r="7" spans="1:3" ht="28" x14ac:dyDescent="0.2">
      <c r="A7" s="7" t="s">
        <v>13</v>
      </c>
      <c r="B7" s="18" t="s">
        <v>103</v>
      </c>
      <c r="C7" s="18" t="s">
        <v>104</v>
      </c>
    </row>
    <row r="8" spans="1:3" x14ac:dyDescent="0.2">
      <c r="A8" s="7" t="s">
        <v>13</v>
      </c>
      <c r="B8" s="18" t="s">
        <v>105</v>
      </c>
      <c r="C8" s="18" t="s">
        <v>106</v>
      </c>
    </row>
    <row r="9" spans="1:3" x14ac:dyDescent="0.2">
      <c r="A9" s="7" t="s">
        <v>13</v>
      </c>
      <c r="B9" s="18" t="s">
        <v>107</v>
      </c>
      <c r="C9" s="18" t="s">
        <v>108</v>
      </c>
    </row>
    <row r="10" spans="1:3" x14ac:dyDescent="0.2">
      <c r="A10" s="7" t="s">
        <v>13</v>
      </c>
      <c r="B10" s="18" t="s">
        <v>109</v>
      </c>
      <c r="C10" s="18" t="s">
        <v>110</v>
      </c>
    </row>
    <row r="11" spans="1:3" x14ac:dyDescent="0.2">
      <c r="A11" s="7" t="s">
        <v>13</v>
      </c>
      <c r="B11" s="18" t="s">
        <v>111</v>
      </c>
      <c r="C11" s="18" t="s">
        <v>112</v>
      </c>
    </row>
    <row r="12" spans="1:3" x14ac:dyDescent="0.2">
      <c r="A12" s="7" t="s">
        <v>14</v>
      </c>
      <c r="B12" s="18" t="s">
        <v>113</v>
      </c>
      <c r="C12" s="18" t="s">
        <v>114</v>
      </c>
    </row>
    <row r="13" spans="1:3" x14ac:dyDescent="0.2">
      <c r="A13" s="7" t="s">
        <v>14</v>
      </c>
      <c r="B13" s="18" t="s">
        <v>115</v>
      </c>
      <c r="C13" s="18" t="s">
        <v>116</v>
      </c>
    </row>
    <row r="14" spans="1:3" x14ac:dyDescent="0.2">
      <c r="A14" s="7" t="s">
        <v>14</v>
      </c>
      <c r="B14" s="18" t="s">
        <v>117</v>
      </c>
      <c r="C14" s="18" t="s">
        <v>118</v>
      </c>
    </row>
    <row r="15" spans="1:3" ht="28" x14ac:dyDescent="0.2">
      <c r="A15" s="7" t="s">
        <v>14</v>
      </c>
      <c r="B15" s="18" t="s">
        <v>119</v>
      </c>
      <c r="C15" s="18" t="s">
        <v>120</v>
      </c>
    </row>
    <row r="16" spans="1:3" x14ac:dyDescent="0.2">
      <c r="A16" s="7" t="s">
        <v>15</v>
      </c>
      <c r="B16" s="18" t="s">
        <v>121</v>
      </c>
      <c r="C16" s="18" t="s">
        <v>122</v>
      </c>
    </row>
    <row r="17" spans="1:3" x14ac:dyDescent="0.2">
      <c r="A17" s="7" t="s">
        <v>15</v>
      </c>
      <c r="B17" s="18" t="s">
        <v>123</v>
      </c>
      <c r="C17" s="18" t="s">
        <v>124</v>
      </c>
    </row>
    <row r="18" spans="1:3" x14ac:dyDescent="0.2">
      <c r="A18" s="7" t="s">
        <v>15</v>
      </c>
      <c r="B18" s="18" t="s">
        <v>125</v>
      </c>
      <c r="C18" s="18" t="s">
        <v>126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10" customWidth="1"/>
    <col min="2" max="2" width="70" customWidth="1"/>
    <col min="3" max="3" width="80" customWidth="1"/>
  </cols>
  <sheetData>
    <row r="1" spans="1:3" ht="18" x14ac:dyDescent="0.2">
      <c r="A1" s="2" t="s">
        <v>127</v>
      </c>
    </row>
    <row r="3" spans="1:3" x14ac:dyDescent="0.2">
      <c r="A3" s="6" t="s">
        <v>30</v>
      </c>
      <c r="B3" s="6" t="s">
        <v>128</v>
      </c>
      <c r="C3" s="6" t="s">
        <v>129</v>
      </c>
    </row>
    <row r="4" spans="1:3" ht="266" x14ac:dyDescent="0.2">
      <c r="A4" s="7" t="s">
        <v>45</v>
      </c>
      <c r="B4" s="18" t="s">
        <v>130</v>
      </c>
      <c r="C4" s="18" t="s">
        <v>131</v>
      </c>
    </row>
    <row r="5" spans="1:3" ht="266" x14ac:dyDescent="0.2">
      <c r="A5" s="7" t="s">
        <v>54</v>
      </c>
      <c r="B5" s="18" t="s">
        <v>132</v>
      </c>
      <c r="C5" s="18" t="s">
        <v>133</v>
      </c>
    </row>
    <row r="6" spans="1:3" ht="409.6" x14ac:dyDescent="0.2">
      <c r="A6" s="7" t="s">
        <v>60</v>
      </c>
      <c r="B6" s="18" t="s">
        <v>134</v>
      </c>
      <c r="C6" s="18" t="s">
        <v>135</v>
      </c>
    </row>
    <row r="7" spans="1:3" ht="371" x14ac:dyDescent="0.2">
      <c r="A7" s="7" t="s">
        <v>66</v>
      </c>
      <c r="B7" s="18" t="s">
        <v>136</v>
      </c>
      <c r="C7" s="18" t="s">
        <v>137</v>
      </c>
    </row>
    <row r="8" spans="1:3" ht="266" x14ac:dyDescent="0.2">
      <c r="A8" s="7" t="s">
        <v>71</v>
      </c>
      <c r="B8" s="18" t="s">
        <v>138</v>
      </c>
      <c r="C8" s="18" t="s">
        <v>139</v>
      </c>
    </row>
    <row r="9" spans="1:3" ht="397" x14ac:dyDescent="0.2">
      <c r="A9" s="7" t="s">
        <v>77</v>
      </c>
      <c r="B9" s="18" t="s">
        <v>140</v>
      </c>
      <c r="C9" s="18" t="s">
        <v>141</v>
      </c>
    </row>
    <row r="10" spans="1:3" ht="409.6" x14ac:dyDescent="0.2">
      <c r="A10" s="7" t="s">
        <v>82</v>
      </c>
      <c r="B10" s="18" t="s">
        <v>142</v>
      </c>
      <c r="C10" s="18" t="s">
        <v>143</v>
      </c>
    </row>
    <row r="11" spans="1:3" ht="280" x14ac:dyDescent="0.2">
      <c r="A11" s="7" t="s">
        <v>88</v>
      </c>
      <c r="B11" s="18" t="s">
        <v>144</v>
      </c>
      <c r="C11" s="18" t="s">
        <v>145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Evaluation Log</vt:lpstr>
      <vt:lpstr>Rules &amp; Keys</vt:lpstr>
      <vt:lpstr>Prompts &amp; 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Имангали</cp:lastModifiedBy>
  <cp:revision>0</cp:revision>
  <dcterms:created xsi:type="dcterms:W3CDTF">2026-10-05T10:57:24Z</dcterms:created>
  <dcterms:modified xsi:type="dcterms:W3CDTF">2026-10-05T11:28:00Z</dcterms:modified>
  <dc:language>en-US</dc:language>
</cp:coreProperties>
</file>